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6"/>
  <workbookPr/>
  <mc:AlternateContent xmlns:mc="http://schemas.openxmlformats.org/markup-compatibility/2006">
    <mc:Choice Requires="x15">
      <x15ac:absPath xmlns:x15ac="http://schemas.microsoft.com/office/spreadsheetml/2010/11/ac" url="/Users/HP/Downloads/"/>
    </mc:Choice>
  </mc:AlternateContent>
  <xr:revisionPtr revIDLastSave="0" documentId="8_{484B757A-79A5-B949-BA74-FF588A01CEFC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WOT Analysi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5" i="2" l="1"/>
  <c r="B32" i="2"/>
  <c r="B31" i="2"/>
  <c r="B30" i="2"/>
  <c r="B29" i="2"/>
  <c r="B28" i="2"/>
  <c r="B27" i="2"/>
  <c r="B26" i="2"/>
  <c r="B25" i="2"/>
  <c r="B23" i="2"/>
  <c r="B24" i="2" s="1"/>
  <c r="E14" i="2"/>
  <c r="E15" i="2" s="1"/>
  <c r="B14" i="2"/>
  <c r="B15" i="2" s="1"/>
  <c r="B16" i="2" s="1"/>
  <c r="B10" i="2"/>
  <c r="B5" i="2"/>
  <c r="B17" i="2" l="1"/>
  <c r="B18" i="2" s="1"/>
  <c r="E16" i="2"/>
  <c r="B6" i="2"/>
  <c r="E6" i="2"/>
  <c r="E17" i="2" l="1"/>
  <c r="E18" i="2" s="1"/>
  <c r="B19" i="2"/>
  <c r="B20" i="2"/>
  <c r="E7" i="2"/>
  <c r="E8" i="2" s="1"/>
  <c r="B7" i="2"/>
  <c r="B8" i="2" s="1"/>
  <c r="E19" i="2" l="1"/>
  <c r="E20" i="2" s="1"/>
  <c r="E9" i="2"/>
  <c r="E10" i="2" s="1"/>
  <c r="B9" i="2"/>
</calcChain>
</file>

<file path=xl/sharedStrings.xml><?xml version="1.0" encoding="utf-8"?>
<sst xmlns="http://schemas.openxmlformats.org/spreadsheetml/2006/main" count="49" uniqueCount="49">
  <si>
    <t>SWOT Analysis</t>
  </si>
  <si>
    <t>Strengths</t>
  </si>
  <si>
    <t>Weaknesses</t>
  </si>
  <si>
    <t>Threats</t>
  </si>
  <si>
    <t>Opportunities</t>
  </si>
  <si>
    <t xml:space="preserve">Actions </t>
  </si>
  <si>
    <t>Assigned to:</t>
  </si>
  <si>
    <t>#</t>
  </si>
  <si>
    <t>Internal</t>
  </si>
  <si>
    <t>External</t>
  </si>
  <si>
    <t>S</t>
  </si>
  <si>
    <t>T</t>
  </si>
  <si>
    <t>W</t>
  </si>
  <si>
    <t>O</t>
  </si>
  <si>
    <t>◄ Numbers will appear automaticlaly next to your ideas</t>
  </si>
  <si>
    <t>◄ Insert rows to add more ideas, and copy an existing row down to keep the formulas</t>
  </si>
  <si>
    <t>Skilled cross-functional team (AI/ML, data, backend, telecom); access to real-world spam call datasets</t>
  </si>
  <si>
    <t>Rapid prototyping, dataset preprocessing, and algorithm optimization for fraud detection</t>
  </si>
  <si>
    <t>Real-time scam detection and caller ID verification accuracy above 95%</t>
  </si>
  <si>
    <t>Automation through integrated APIs and model retraining pipelines</t>
  </si>
  <si>
    <t>AI-driven detection using rule-based + ML hybrid model tailored for government and telecom compliance</t>
  </si>
  <si>
    <t>UI/UX of the mobile prototype and app performance on low-end devices</t>
  </si>
  <si>
    <t>Limited computing infrastructure for large-scale ML training</t>
  </si>
  <si>
    <t>Integration testing across Android &amp; iOS environments</t>
  </si>
  <si>
    <t>Manual dataset labeling and frequent data cleaning</t>
  </si>
  <si>
    <t>Established cybersecurity firms have advanced real-time analytics and larger datasets</t>
  </si>
  <si>
    <t>Slight delay in fraud alert notifications during network congestion</t>
  </si>
  <si>
    <t>AI-powered caller verification tailored for government and immigration-related scams</t>
  </si>
  <si>
    <t>Infrastructure limitations could affect scalability</t>
  </si>
  <si>
    <t>Integrate predictive analytics + behavioral insights for future scam prevention</t>
  </si>
  <si>
    <t>Data privacy and GDPR/CCPA regulations</t>
  </si>
  <si>
    <t>Rapid adoption of telecom AI tools and data-driven fraud prevention</t>
  </si>
  <si>
    <t>Increasing number of AI-based competitors entering fraud detection</t>
  </si>
  <si>
    <t>Azure AI Speech Analytics and Snowflake data pipelines</t>
  </si>
  <si>
    <t>Voice deep-fakes and adaptive AI scams evolving faster than model updates</t>
  </si>
  <si>
    <t>Partnerships with telecoms, government hotlines, and cyber security agencies</t>
  </si>
  <si>
    <t>Stricter data sharing policies and telecom compliance laws may limit data access</t>
  </si>
  <si>
    <t>Upcoming AI ethics acts may restrict training on certain call datasets</t>
  </si>
  <si>
    <t>Optimize model inference and reduce response latency to under 1 second</t>
  </si>
  <si>
    <t>Riya Patel (Functional Manager)</t>
  </si>
  <si>
    <t>Migrate data storage to Azure or Snowflake for scalability and security</t>
  </si>
  <si>
    <t>Hemin Dhamelia (Project Manager)</t>
  </si>
  <si>
    <t>Automate data labeling and cleaning process using AI-based tools</t>
  </si>
  <si>
    <t>Krisha Lakhani (Deputy Project Manager)</t>
  </si>
  <si>
    <t>Conduct UI/UX improvements and cross-platform testing</t>
  </si>
  <si>
    <t>QA Team &amp; Mobile Developer</t>
  </si>
  <si>
    <t>Establish compliance workflow to adhere to GDPR/CCPA requirements</t>
  </si>
  <si>
    <t>Security Specialist &amp; Legal Advisor</t>
  </si>
  <si>
    <t>Organisation or Team:  Team 6 – AI-Powered Fraud Call Detection for SSN &amp; Immigration Scams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</si>
</sst>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i/>
      <sz val="20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theme="1" tint="0.499984740745262"/>
      <name val="Calibri"/>
      <family val="2"/>
      <scheme val="minor"/>
    </font>
    <font>
      <i/>
      <sz val="24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DDBB1"/>
        <bgColor indexed="64"/>
      </patternFill>
    </fill>
    <fill>
      <patternFill patternType="solid">
        <fgColor rgb="FF8FB9AB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dotted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dotted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dotted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dotted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14996795556505021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0" tint="-0.14996795556505021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dashed">
        <color theme="0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/>
      <bottom style="dotted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dashed">
        <color theme="0"/>
      </top>
      <bottom style="dotted">
        <color theme="1" tint="0.499984740745262"/>
      </bottom>
      <diagonal/>
    </border>
    <border>
      <left/>
      <right style="medium">
        <color theme="1" tint="0.499984740745262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5" xfId="0" applyBorder="1" applyAlignment="1">
      <alignment horizontal="left" vertical="center" wrapText="1" indent="1"/>
    </xf>
    <xf numFmtId="0" fontId="0" fillId="0" borderId="7" xfId="0" applyBorder="1" applyAlignment="1">
      <alignment horizontal="left" vertical="center" wrapText="1" indent="1"/>
    </xf>
    <xf numFmtId="0" fontId="0" fillId="0" borderId="9" xfId="0" applyBorder="1" applyAlignment="1">
      <alignment horizontal="left" vertical="center" wrapText="1" inden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left" vertical="center" wrapText="1" indent="1"/>
    </xf>
    <xf numFmtId="0" fontId="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left" vertical="center" wrapText="1" indent="1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5" fillId="2" borderId="0" xfId="0" applyFont="1" applyFill="1"/>
    <xf numFmtId="0" fontId="6" fillId="2" borderId="0" xfId="0" applyFont="1" applyFill="1" applyAlignment="1">
      <alignment horizontal="left" vertical="center" indent="1"/>
    </xf>
    <xf numFmtId="0" fontId="4" fillId="4" borderId="17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8" fillId="0" borderId="2" xfId="0" applyFont="1" applyBorder="1" applyAlignment="1">
      <alignment horizontal="left" vertical="center" indent="1"/>
    </xf>
    <xf numFmtId="0" fontId="8" fillId="0" borderId="3" xfId="0" applyFont="1" applyBorder="1" applyAlignment="1">
      <alignment horizontal="left" vertical="center" indent="1"/>
    </xf>
    <xf numFmtId="0" fontId="12" fillId="2" borderId="14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 wrapText="1" indent="1"/>
    </xf>
    <xf numFmtId="0" fontId="0" fillId="0" borderId="11" xfId="0" applyBorder="1" applyAlignment="1">
      <alignment horizontal="left" vertical="center" wrapText="1" indent="1"/>
    </xf>
    <xf numFmtId="0" fontId="9" fillId="3" borderId="21" xfId="0" applyFont="1" applyFill="1" applyBorder="1" applyAlignment="1">
      <alignment horizontal="right" vertical="center" textRotation="90"/>
    </xf>
    <xf numFmtId="0" fontId="1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1" defaultTableStyle="TableStyleMedium2" defaultPivotStyle="PivotStyleLight16">
    <tableStyle name="Table Style 1" pivot="0" count="0" xr9:uid="{00000000-0011-0000-FFFF-FFFF00000000}"/>
  </tableStyles>
  <colors>
    <mruColors>
      <color rgb="FFFDDBB1"/>
      <color rgb="FF8FB9AB"/>
      <color rgb="FFA74001"/>
      <color rgb="FFF6BB00"/>
      <color rgb="FF366B2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showGridLines="0" tabSelected="1" zoomScaleNormal="100" workbookViewId="0">
      <selection activeCell="B2" sqref="B2:F2"/>
    </sheetView>
  </sheetViews>
  <sheetFormatPr baseColWidth="10" defaultColWidth="8.83203125" defaultRowHeight="15" x14ac:dyDescent="0.2"/>
  <cols>
    <col min="1" max="1" width="6.33203125" customWidth="1"/>
    <col min="2" max="2" width="6.83203125" customWidth="1"/>
    <col min="3" max="3" width="82.83203125" bestFit="1" customWidth="1"/>
    <col min="4" max="4" width="4.83203125" customWidth="1"/>
    <col min="5" max="5" width="6.83203125" customWidth="1"/>
    <col min="6" max="6" width="66.83203125" bestFit="1" customWidth="1"/>
    <col min="7" max="7" width="3.5" customWidth="1"/>
    <col min="8" max="8" width="2.6640625" customWidth="1"/>
    <col min="10" max="10" width="57.1640625" bestFit="1" customWidth="1"/>
    <col min="11" max="11" width="32.1640625" bestFit="1" customWidth="1"/>
    <col min="12" max="12" width="82.83203125" bestFit="1" customWidth="1"/>
  </cols>
  <sheetData>
    <row r="1" spans="1:8" ht="31" x14ac:dyDescent="0.2">
      <c r="A1" s="12"/>
      <c r="B1" s="23" t="s">
        <v>0</v>
      </c>
      <c r="C1" s="23"/>
      <c r="D1" s="23"/>
      <c r="E1" s="23"/>
      <c r="F1" s="23"/>
      <c r="G1" s="12"/>
    </row>
    <row r="2" spans="1:8" ht="20.5" customHeight="1" x14ac:dyDescent="0.2">
      <c r="A2" s="12"/>
      <c r="B2" s="32" t="s">
        <v>48</v>
      </c>
      <c r="C2" s="24"/>
      <c r="D2" s="24"/>
      <c r="E2" s="24"/>
      <c r="F2" s="25"/>
      <c r="G2" s="12"/>
    </row>
    <row r="3" spans="1:8" ht="7.25" customHeight="1" thickBot="1" x14ac:dyDescent="0.25">
      <c r="A3" s="12"/>
      <c r="B3" s="13"/>
      <c r="C3" s="13"/>
      <c r="D3" s="13"/>
      <c r="E3" s="13"/>
      <c r="F3" s="13"/>
      <c r="G3" s="12"/>
    </row>
    <row r="4" spans="1:8" ht="30" customHeight="1" thickBot="1" x14ac:dyDescent="0.25">
      <c r="A4" s="31" t="s">
        <v>8</v>
      </c>
      <c r="B4" s="15" t="s">
        <v>10</v>
      </c>
      <c r="C4" s="14" t="s">
        <v>1</v>
      </c>
      <c r="D4" s="4"/>
      <c r="E4" s="16" t="s">
        <v>12</v>
      </c>
      <c r="F4" s="14" t="s">
        <v>2</v>
      </c>
    </row>
    <row r="5" spans="1:8" ht="30" customHeight="1" x14ac:dyDescent="0.2">
      <c r="A5" s="31"/>
      <c r="B5" s="17">
        <f>IF(ISBLANK(C5),"",1)</f>
        <v>1</v>
      </c>
      <c r="C5" s="1" t="s">
        <v>16</v>
      </c>
      <c r="D5" s="4"/>
      <c r="E5" s="20">
        <f>IF(ISBLANK(F5),"",1)</f>
        <v>1</v>
      </c>
      <c r="F5" s="1" t="s">
        <v>21</v>
      </c>
    </row>
    <row r="6" spans="1:8" ht="30" customHeight="1" x14ac:dyDescent="0.2">
      <c r="A6" s="31"/>
      <c r="B6" s="18">
        <f>IF(C6="","",MAX(B5:B$5)+1)</f>
        <v>2</v>
      </c>
      <c r="C6" s="2" t="s">
        <v>17</v>
      </c>
      <c r="D6" s="4"/>
      <c r="E6" s="18">
        <f>IF(F6="","",MAX(E5:E$5)+1)</f>
        <v>2</v>
      </c>
      <c r="F6" s="2" t="s">
        <v>22</v>
      </c>
    </row>
    <row r="7" spans="1:8" ht="30" customHeight="1" x14ac:dyDescent="0.2">
      <c r="A7" s="31"/>
      <c r="B7" s="18">
        <f>IF(C7="","",MAX(B$5:B6)+1)</f>
        <v>3</v>
      </c>
      <c r="C7" s="2" t="s">
        <v>18</v>
      </c>
      <c r="D7" s="4"/>
      <c r="E7" s="18">
        <f>IF(F7="","",MAX(E$5:E6)+1)</f>
        <v>3</v>
      </c>
      <c r="F7" s="2" t="s">
        <v>23</v>
      </c>
      <c r="H7" s="10" t="s">
        <v>15</v>
      </c>
    </row>
    <row r="8" spans="1:8" ht="30" customHeight="1" x14ac:dyDescent="0.2">
      <c r="A8" s="31"/>
      <c r="B8" s="18">
        <f>IF(C8="","",MAX(B$5:B7)+1)</f>
        <v>4</v>
      </c>
      <c r="C8" s="2" t="s">
        <v>19</v>
      </c>
      <c r="D8" s="4"/>
      <c r="E8" s="18">
        <f>IF(F8="","",MAX(E$5:E7)+1)</f>
        <v>4</v>
      </c>
      <c r="F8" s="2" t="s">
        <v>24</v>
      </c>
      <c r="H8" s="10" t="s">
        <v>14</v>
      </c>
    </row>
    <row r="9" spans="1:8" ht="30" customHeight="1" x14ac:dyDescent="0.2">
      <c r="A9" s="31"/>
      <c r="B9" s="18">
        <f>IF(C9="","",MAX(B$5:B8)+1)</f>
        <v>5</v>
      </c>
      <c r="C9" s="2" t="s">
        <v>20</v>
      </c>
      <c r="D9" s="4"/>
      <c r="E9" s="18">
        <f>IF(F9="","",MAX(E$5:E8)+1)</f>
        <v>5</v>
      </c>
      <c r="F9" s="2" t="s">
        <v>25</v>
      </c>
    </row>
    <row r="10" spans="1:8" ht="30" customHeight="1" x14ac:dyDescent="0.2">
      <c r="A10" s="31"/>
      <c r="B10" s="18" t="str">
        <f>IF(C10="","",MAX(B$5:B9)+1)</f>
        <v/>
      </c>
      <c r="C10" s="2"/>
      <c r="D10" s="4"/>
      <c r="E10" s="18">
        <f>IF(F10="","",MAX(E$5:E9)+1)</f>
        <v>6</v>
      </c>
      <c r="F10" s="2" t="s">
        <v>26</v>
      </c>
    </row>
    <row r="11" spans="1:8" x14ac:dyDescent="0.2">
      <c r="A11" s="11"/>
      <c r="B11" s="5"/>
      <c r="C11" s="4"/>
      <c r="D11" s="4"/>
      <c r="E11" s="5"/>
      <c r="F11" s="4"/>
    </row>
    <row r="12" spans="1:8" ht="16" thickBot="1" x14ac:dyDescent="0.25">
      <c r="A12" s="11"/>
      <c r="B12" s="5"/>
      <c r="C12" s="4"/>
      <c r="D12" s="4"/>
      <c r="E12" s="5"/>
      <c r="F12" s="4"/>
    </row>
    <row r="13" spans="1:8" ht="30" customHeight="1" thickBot="1" x14ac:dyDescent="0.25">
      <c r="A13" s="31" t="s">
        <v>9</v>
      </c>
      <c r="B13" s="15" t="s">
        <v>13</v>
      </c>
      <c r="C13" s="14" t="s">
        <v>4</v>
      </c>
      <c r="D13" s="4"/>
      <c r="E13" s="15" t="s">
        <v>11</v>
      </c>
      <c r="F13" s="14" t="s">
        <v>3</v>
      </c>
    </row>
    <row r="14" spans="1:8" ht="30" customHeight="1" x14ac:dyDescent="0.2">
      <c r="A14" s="31"/>
      <c r="B14" s="20">
        <f>IF(ISBLANK(C14),"",1)</f>
        <v>1</v>
      </c>
      <c r="C14" s="1" t="s">
        <v>27</v>
      </c>
      <c r="D14" s="4"/>
      <c r="E14" s="17">
        <f>IF(ISBLANK(F14),"",1)</f>
        <v>1</v>
      </c>
      <c r="F14" s="1" t="s">
        <v>28</v>
      </c>
    </row>
    <row r="15" spans="1:8" ht="21" x14ac:dyDescent="0.2">
      <c r="A15" s="31"/>
      <c r="B15" s="18">
        <f>IF(C15="","",MAX(B$14:B14)+1)</f>
        <v>2</v>
      </c>
      <c r="C15" s="2" t="s">
        <v>29</v>
      </c>
      <c r="D15" s="4"/>
      <c r="E15" s="18">
        <f>IF(F15="","",MAX(E$14:E14)+1)</f>
        <v>2</v>
      </c>
      <c r="F15" s="2" t="s">
        <v>30</v>
      </c>
    </row>
    <row r="16" spans="1:8" ht="30" customHeight="1" x14ac:dyDescent="0.2">
      <c r="A16" s="31"/>
      <c r="B16" s="18">
        <f>IF(C16="","",MAX(B$14:B15)+1)</f>
        <v>3</v>
      </c>
      <c r="C16" s="2" t="s">
        <v>31</v>
      </c>
      <c r="D16" s="4"/>
      <c r="E16" s="18">
        <f>IF(F16="","",MAX(E$14:E15)+1)</f>
        <v>3</v>
      </c>
      <c r="F16" s="2" t="s">
        <v>32</v>
      </c>
    </row>
    <row r="17" spans="1:6" ht="30" customHeight="1" x14ac:dyDescent="0.2">
      <c r="A17" s="31"/>
      <c r="B17" s="18">
        <f>IF(C17="","",MAX(B$14:B16)+1)</f>
        <v>4</v>
      </c>
      <c r="C17" s="2" t="s">
        <v>33</v>
      </c>
      <c r="D17" s="4"/>
      <c r="E17" s="18">
        <f>IF(F17="","",MAX(E$14:E16)+1)</f>
        <v>4</v>
      </c>
      <c r="F17" s="2" t="s">
        <v>34</v>
      </c>
    </row>
    <row r="18" spans="1:6" ht="30" customHeight="1" x14ac:dyDescent="0.2">
      <c r="A18" s="31"/>
      <c r="B18" s="18">
        <f>IF(C18="","",MAX(B$14:B17)+1)</f>
        <v>5</v>
      </c>
      <c r="C18" s="2" t="s">
        <v>35</v>
      </c>
      <c r="D18" s="4"/>
      <c r="E18" s="18">
        <f>IF(F18="","",MAX(E$14:E17)+1)</f>
        <v>5</v>
      </c>
      <c r="F18" s="2" t="s">
        <v>36</v>
      </c>
    </row>
    <row r="19" spans="1:6" ht="30" customHeight="1" x14ac:dyDescent="0.2">
      <c r="A19" s="31"/>
      <c r="B19" s="18" t="str">
        <f>IF(C19="","",MAX(B$14:B18)+1)</f>
        <v/>
      </c>
      <c r="C19" s="2"/>
      <c r="D19" s="4"/>
      <c r="E19" s="18">
        <f>IF(F19="","",MAX(E$14:E18)+1)</f>
        <v>6</v>
      </c>
      <c r="F19" s="2" t="s">
        <v>37</v>
      </c>
    </row>
    <row r="20" spans="1:6" ht="30" customHeight="1" thickBot="1" x14ac:dyDescent="0.25">
      <c r="A20" s="31"/>
      <c r="B20" s="19" t="str">
        <f>IF(C20="","",MAX(B$14:B19)+1)</f>
        <v/>
      </c>
      <c r="C20" s="3"/>
      <c r="D20" s="4"/>
      <c r="E20" s="19" t="str">
        <f>IF(F20="","",MAX(E$14:E19)+1)</f>
        <v/>
      </c>
      <c r="F20" s="3"/>
    </row>
    <row r="21" spans="1:6" x14ac:dyDescent="0.2">
      <c r="B21" s="4"/>
      <c r="C21" s="4"/>
      <c r="D21" s="4"/>
      <c r="E21" s="4"/>
      <c r="F21" s="4"/>
    </row>
    <row r="22" spans="1:6" ht="25" customHeight="1" x14ac:dyDescent="0.2">
      <c r="B22" s="21" t="s">
        <v>7</v>
      </c>
      <c r="C22" s="26" t="s">
        <v>5</v>
      </c>
      <c r="D22" s="27"/>
      <c r="E22" s="28"/>
      <c r="F22" s="22" t="s">
        <v>6</v>
      </c>
    </row>
    <row r="23" spans="1:6" ht="30" customHeight="1" x14ac:dyDescent="0.2">
      <c r="B23" s="6">
        <f>IF(ISBLANK(C23),"",1)</f>
        <v>1</v>
      </c>
      <c r="C23" s="29" t="s">
        <v>38</v>
      </c>
      <c r="D23" s="29"/>
      <c r="E23" s="29"/>
      <c r="F23" s="7" t="s">
        <v>39</v>
      </c>
    </row>
    <row r="24" spans="1:6" ht="30" customHeight="1" x14ac:dyDescent="0.2">
      <c r="B24" s="8">
        <f>IF(C24="","",MAX(B$23:B23)+1)</f>
        <v>2</v>
      </c>
      <c r="C24" s="30" t="s">
        <v>40</v>
      </c>
      <c r="D24" s="30"/>
      <c r="E24" s="30"/>
      <c r="F24" s="9" t="s">
        <v>41</v>
      </c>
    </row>
    <row r="25" spans="1:6" ht="30" customHeight="1" x14ac:dyDescent="0.2">
      <c r="B25" s="8">
        <f>IF(C25="","",MAX(B$23:B24)+1)</f>
        <v>3</v>
      </c>
      <c r="C25" s="30" t="s">
        <v>42</v>
      </c>
      <c r="D25" s="30"/>
      <c r="E25" s="30"/>
      <c r="F25" s="7" t="s">
        <v>43</v>
      </c>
    </row>
    <row r="26" spans="1:6" ht="30" customHeight="1" x14ac:dyDescent="0.2">
      <c r="B26" s="8">
        <f>IF(C26="","",MAX(B$23:B25)+1)</f>
        <v>4</v>
      </c>
      <c r="C26" s="30" t="s">
        <v>44</v>
      </c>
      <c r="D26" s="30"/>
      <c r="E26" s="30"/>
      <c r="F26" s="9" t="s">
        <v>45</v>
      </c>
    </row>
    <row r="27" spans="1:6" ht="30" customHeight="1" x14ac:dyDescent="0.2">
      <c r="B27" s="8">
        <f>IF(C27="","",MAX(B$23:B26)+1)</f>
        <v>5</v>
      </c>
      <c r="C27" s="30" t="s">
        <v>46</v>
      </c>
      <c r="D27" s="30"/>
      <c r="E27" s="30"/>
      <c r="F27" s="7" t="s">
        <v>47</v>
      </c>
    </row>
    <row r="28" spans="1:6" ht="30" customHeight="1" x14ac:dyDescent="0.2">
      <c r="B28" t="str">
        <f>IF(C28="","",MAX(B$23:B27)+1)</f>
        <v/>
      </c>
    </row>
    <row r="29" spans="1:6" ht="30" customHeight="1" x14ac:dyDescent="0.2">
      <c r="B29" t="str">
        <f>IF(C29="","",MAX(B$23:B28)+1)</f>
        <v/>
      </c>
    </row>
    <row r="30" spans="1:6" ht="30" customHeight="1" x14ac:dyDescent="0.2">
      <c r="B30" t="str">
        <f>IF(C30="","",MAX(B$23:B29)+1)</f>
        <v/>
      </c>
    </row>
    <row r="31" spans="1:6" ht="30" customHeight="1" x14ac:dyDescent="0.2">
      <c r="B31" t="str">
        <f>IF(C31="","",MAX(B$23:B30)+1)</f>
        <v/>
      </c>
    </row>
    <row r="32" spans="1:6" ht="30" customHeight="1" x14ac:dyDescent="0.2">
      <c r="B32" t="str">
        <f>IF(C32="","",MAX(B$23:B31)+1)</f>
        <v/>
      </c>
    </row>
  </sheetData>
  <mergeCells count="10">
    <mergeCell ref="A4:A10"/>
    <mergeCell ref="A13:A20"/>
    <mergeCell ref="C26:E26"/>
    <mergeCell ref="C27:E27"/>
    <mergeCell ref="C25:E25"/>
    <mergeCell ref="B1:F1"/>
    <mergeCell ref="B2:F2"/>
    <mergeCell ref="C22:E22"/>
    <mergeCell ref="C23:E23"/>
    <mergeCell ref="C24:E24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SWOT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shi.patel@northeastern.edu</dc:creator>
  <cp:lastModifiedBy>Hemin Dhamelia</cp:lastModifiedBy>
  <dcterms:created xsi:type="dcterms:W3CDTF">2021-05-15T03:00:58Z</dcterms:created>
  <dcterms:modified xsi:type="dcterms:W3CDTF">2025-11-07T22:31:43Z</dcterms:modified>
</cp:coreProperties>
</file>