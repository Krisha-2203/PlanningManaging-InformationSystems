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55f8ba975c51b3/Documents/Fall2025 Semester/PlanningManaging IS/Project/"/>
    </mc:Choice>
  </mc:AlternateContent>
  <xr:revisionPtr revIDLastSave="1" documentId="13_ncr:1_{C41119AB-3836-CA45-9A1C-41C3C454B03F}" xr6:coauthVersionLast="47" xr6:coauthVersionMax="47" xr10:uidLastSave="{0AC794C9-AD1F-41C6-ADC4-DFFEF8C62C50}"/>
  <bookViews>
    <workbookView xWindow="-108" yWindow="-108" windowWidth="23256" windowHeight="12456" xr2:uid="{00000000-000D-0000-FFFF-FFFF00000000}"/>
  </bookViews>
  <sheets>
    <sheet name="Labor Estimate" sheetId="5" r:id="rId1"/>
    <sheet name="Labor Cost Calculation" sheetId="6" r:id="rId2"/>
    <sheet name="Budgetary Estimate" sheetId="1" r:id="rId3"/>
  </sheets>
  <definedNames>
    <definedName name="_xlnm._FilterDatabase" localSheetId="2" hidden="1">'Budgetary Estimate'!$B$4:$F$4</definedName>
    <definedName name="_xlnm._FilterDatabase" localSheetId="0" hidden="1">'Labor Estimate'!$B$4:$L$4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J2" i="5"/>
  <c r="L5" i="5"/>
  <c r="L6" i="5"/>
  <c r="L7" i="5"/>
  <c r="L8" i="5"/>
  <c r="L9" i="5"/>
  <c r="L10" i="5"/>
  <c r="L11" i="5"/>
  <c r="L12" i="5"/>
  <c r="L13" i="5"/>
  <c r="L14" i="5"/>
  <c r="F6" i="1" l="1"/>
  <c r="F7" i="1"/>
  <c r="F5" i="1" l="1"/>
</calcChain>
</file>

<file path=xl/sharedStrings.xml><?xml version="1.0" encoding="utf-8"?>
<sst xmlns="http://schemas.openxmlformats.org/spreadsheetml/2006/main" count="77" uniqueCount="66">
  <si>
    <r>
      <rPr>
        <b/>
        <sz val="11"/>
        <color theme="0"/>
        <rFont val="Calibri"/>
        <family val="2"/>
        <scheme val="minor"/>
      </rPr>
      <t>Project Name:</t>
    </r>
    <r>
      <rPr>
        <sz val="11"/>
        <color theme="0"/>
        <rFont val="Calibri"/>
        <family val="2"/>
        <scheme val="minor"/>
      </rPr>
      <t xml:space="preserve">        </t>
    </r>
  </si>
  <si>
    <t>Budgetary Estimate (MVP)</t>
  </si>
  <si>
    <t>Total Budget Needed</t>
  </si>
  <si>
    <t>Unique ID</t>
  </si>
  <si>
    <t>WBS Item</t>
  </si>
  <si>
    <t>Project Leads</t>
  </si>
  <si>
    <t>Planning Team</t>
  </si>
  <si>
    <t>Designers</t>
  </si>
  <si>
    <t>Developers</t>
  </si>
  <si>
    <t>Testers</t>
  </si>
  <si>
    <t>Contractors</t>
  </si>
  <si>
    <t>Security Team</t>
  </si>
  <si>
    <t>Customer Support</t>
  </si>
  <si>
    <t>Total Hours Needed</t>
  </si>
  <si>
    <t>Total Labor Hours</t>
  </si>
  <si>
    <t>Labor Estimate (Unit: Hours)</t>
  </si>
  <si>
    <t>Budget Items</t>
  </si>
  <si>
    <t># of Units</t>
  </si>
  <si>
    <t>Cost/Unit</t>
  </si>
  <si>
    <t>Total Costs</t>
  </si>
  <si>
    <r>
      <rPr>
        <b/>
        <sz val="10"/>
        <color theme="1" tint="0.249977111117893"/>
        <rFont val="Calibri"/>
        <family val="2"/>
        <scheme val="minor"/>
      </rPr>
      <t>Labor</t>
    </r>
    <r>
      <rPr>
        <sz val="10"/>
        <color theme="1" tint="0.249977111117893"/>
        <rFont val="Calibri"/>
        <family val="2"/>
        <scheme val="minor"/>
      </rPr>
      <t xml:space="preserve"> 
(From previous sheet)</t>
    </r>
  </si>
  <si>
    <r>
      <rPr>
        <b/>
        <sz val="10"/>
        <color theme="1" tint="0.249977111117893"/>
        <rFont val="Calibri"/>
        <family val="2"/>
        <scheme val="minor"/>
      </rPr>
      <t>Tools</t>
    </r>
    <r>
      <rPr>
        <sz val="10"/>
        <color theme="1" tint="0.249977111117893"/>
        <rFont val="Calibri"/>
        <family val="2"/>
        <scheme val="minor"/>
      </rPr>
      <t xml:space="preserve"> 
(Subscriptions, Servers, Software Tools, Test Tools)</t>
    </r>
  </si>
  <si>
    <r>
      <rPr>
        <b/>
        <sz val="10"/>
        <color theme="1" tint="0.249977111117893"/>
        <rFont val="Calibri"/>
        <family val="2"/>
        <scheme val="minor"/>
      </rPr>
      <t>Subcontractors / Vendors</t>
    </r>
    <r>
      <rPr>
        <sz val="10"/>
        <color theme="1" tint="0.249977111117893"/>
        <rFont val="Calibri"/>
        <family val="2"/>
        <scheme val="minor"/>
      </rPr>
      <t xml:space="preserve">
(If part of your product)</t>
    </r>
  </si>
  <si>
    <r>
      <rPr>
        <b/>
        <sz val="10"/>
        <color theme="1" tint="0.249977111117893"/>
        <rFont val="Calibri"/>
        <family val="2"/>
        <scheme val="minor"/>
      </rPr>
      <t>Hardware</t>
    </r>
    <r>
      <rPr>
        <sz val="10"/>
        <color theme="1" tint="0.249977111117893"/>
        <rFont val="Calibri"/>
        <family val="2"/>
        <scheme val="minor"/>
      </rPr>
      <t xml:space="preserve"> 
(If part of your product)</t>
    </r>
  </si>
  <si>
    <r>
      <rPr>
        <b/>
        <sz val="10"/>
        <color theme="1" tint="0.249977111117893"/>
        <rFont val="Calibri"/>
        <family val="2"/>
        <scheme val="minor"/>
      </rPr>
      <t xml:space="preserve">Overhead/G&amp;A </t>
    </r>
    <r>
      <rPr>
        <sz val="10"/>
        <color theme="1" tint="0.249977111117893"/>
        <rFont val="Calibri"/>
        <family val="2"/>
        <scheme val="minor"/>
      </rPr>
      <t xml:space="preserve">
(Facility, Tax, HR, Utilities, Insurance, etc.)</t>
    </r>
  </si>
  <si>
    <r>
      <rPr>
        <b/>
        <sz val="10"/>
        <color theme="1" tint="0.249977111117893"/>
        <rFont val="Calibri"/>
        <family val="2"/>
        <scheme val="minor"/>
      </rPr>
      <t>Contingency Reserves</t>
    </r>
    <r>
      <rPr>
        <sz val="10"/>
        <color theme="1" tint="0.249977111117893"/>
        <rFont val="Calibri"/>
        <family val="2"/>
        <scheme val="minor"/>
      </rPr>
      <t xml:space="preserve">
(Held by Project Manager)</t>
    </r>
  </si>
  <si>
    <r>
      <rPr>
        <b/>
        <sz val="10"/>
        <color theme="1" tint="0.249977111117893"/>
        <rFont val="Calibri"/>
        <family val="2"/>
        <scheme val="minor"/>
      </rPr>
      <t>Management Reserves</t>
    </r>
    <r>
      <rPr>
        <sz val="10"/>
        <color theme="1" tint="0.249977111117893"/>
        <rFont val="Calibri"/>
        <family val="2"/>
        <scheme val="minor"/>
      </rPr>
      <t xml:space="preserve">
(Held by Business)</t>
    </r>
  </si>
  <si>
    <t>Project Name:</t>
  </si>
  <si>
    <t>Release 1 – Mobile App Prototype &amp; Caller ID Verification</t>
  </si>
  <si>
    <t>Release 1 – Fraud Detection Rules &amp; Model Setup</t>
  </si>
  <si>
    <t>Release 2 – AI Integration &amp; Model Training</t>
  </si>
  <si>
    <t>Release 2 – Validation &amp; Backend Integration</t>
  </si>
  <si>
    <t>Release 2 – User Alerts &amp; Notifications</t>
  </si>
  <si>
    <t>Release 3 – Telecom API Integration Testing</t>
  </si>
  <si>
    <t>Release 3 – Reporting &amp; Analytics Dashboard</t>
  </si>
  <si>
    <t>Release 3 – Scaling, Testing &amp; Deployment</t>
  </si>
  <si>
    <t>Project Management, Docs &amp; Training</t>
  </si>
  <si>
    <t>TOTAL</t>
  </si>
  <si>
    <t>~ 700 with +/- 15% margin</t>
  </si>
  <si>
    <t>Hours</t>
  </si>
  <si>
    <t>Total</t>
  </si>
  <si>
    <t>Role / Function</t>
  </si>
  <si>
    <t>$/hr (rate)</t>
  </si>
  <si>
    <t>Cost ($)</t>
  </si>
  <si>
    <t>Notes</t>
  </si>
  <si>
    <t>6 160</t>
  </si>
  <si>
    <t>Krisha (PM + coordination)</t>
  </si>
  <si>
    <t>3 430</t>
  </si>
  <si>
    <t>Release planning &amp; tracking</t>
  </si>
  <si>
    <t>3 510</t>
  </si>
  <si>
    <t>UI/UX + fraud flow design</t>
  </si>
  <si>
    <t>22 875</t>
  </si>
  <si>
    <t>Core app + backend + ML</t>
  </si>
  <si>
    <t>4 680</t>
  </si>
  <si>
    <t>QA and validation testing</t>
  </si>
  <si>
    <t>4 080</t>
  </si>
  <si>
    <t>Data &amp; model security</t>
  </si>
  <si>
    <t>In-house team only</t>
  </si>
  <si>
    <t>No live deployment support yet</t>
  </si>
  <si>
    <t>Total Labor Cost</t>
  </si>
  <si>
    <t>611 h (≈ 700)</t>
  </si>
  <si>
    <t>—</t>
  </si>
  <si>
    <t>$44 735 ≈ $45 000</t>
  </si>
  <si>
    <t>Traing/Documentation/Support Readiness</t>
  </si>
  <si>
    <t>AI-Powered Fraud Call Detection for SSN &amp; Immigration Scams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</si>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</sst>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$&quot;#,##0_);[Red]\(&quot;$&quot;#,##0\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4867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dotted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theme="1" tint="0.499984740745262"/>
      </bottom>
      <diagonal/>
    </border>
    <border>
      <left style="medium">
        <color indexed="64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indexed="64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thin">
        <color indexed="64"/>
      </left>
      <right style="medium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/>
      <top style="dotted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dotted">
        <color theme="1" tint="0.49998474074526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theme="1" tint="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dotted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 indent="1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17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right" vertical="center" indent="1"/>
    </xf>
    <xf numFmtId="0" fontId="3" fillId="5" borderId="19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6" fontId="7" fillId="0" borderId="11" xfId="0" applyNumberFormat="1" applyFont="1" applyBorder="1" applyAlignment="1">
      <alignment horizontal="left" vertical="center" wrapText="1" indent="1"/>
    </xf>
    <xf numFmtId="6" fontId="7" fillId="0" borderId="14" xfId="0" applyNumberFormat="1" applyFont="1" applyBorder="1" applyAlignment="1">
      <alignment horizontal="left" vertical="center" wrapText="1" indent="1"/>
    </xf>
    <xf numFmtId="0" fontId="6" fillId="6" borderId="11" xfId="0" applyFont="1" applyFill="1" applyBorder="1" applyAlignment="1">
      <alignment horizontal="center" vertical="center" wrapText="1"/>
    </xf>
    <xf numFmtId="6" fontId="6" fillId="6" borderId="14" xfId="0" applyNumberFormat="1" applyFont="1" applyFill="1" applyBorder="1" applyAlignment="1">
      <alignment horizontal="center" vertical="center" wrapText="1"/>
    </xf>
    <xf numFmtId="9" fontId="7" fillId="0" borderId="14" xfId="0" applyNumberFormat="1" applyFont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vertical="center"/>
    </xf>
    <xf numFmtId="6" fontId="5" fillId="6" borderId="26" xfId="0" applyNumberFormat="1" applyFont="1" applyFill="1" applyBorder="1" applyAlignment="1">
      <alignment horizontal="left" vertical="center" indent="1"/>
    </xf>
    <xf numFmtId="6" fontId="7" fillId="6" borderId="12" xfId="0" applyNumberFormat="1" applyFont="1" applyFill="1" applyBorder="1" applyAlignment="1">
      <alignment horizontal="left" vertical="center" wrapText="1" indent="1"/>
    </xf>
    <xf numFmtId="6" fontId="7" fillId="6" borderId="15" xfId="0" applyNumberFormat="1" applyFont="1" applyFill="1" applyBorder="1" applyAlignment="1">
      <alignment horizontal="left" vertical="center" wrapText="1" indent="1"/>
    </xf>
    <xf numFmtId="0" fontId="6" fillId="6" borderId="1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7" xfId="0" applyBorder="1"/>
    <xf numFmtId="0" fontId="0" fillId="0" borderId="27" xfId="0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left" vertical="center" indent="1"/>
    </xf>
    <xf numFmtId="0" fontId="5" fillId="4" borderId="21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colors>
    <mruColors>
      <color rgb="FF548675"/>
      <color rgb="FFFFF1E1"/>
      <color rgb="FFF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654F-01B7-4132-BDF2-236365CA494A}">
  <dimension ref="B1:L17"/>
  <sheetViews>
    <sheetView showGridLines="0" tabSelected="1" topLeftCell="B1" zoomScale="96" zoomScaleNormal="170" workbookViewId="0">
      <selection activeCell="O8" sqref="O8"/>
    </sheetView>
  </sheetViews>
  <sheetFormatPr defaultColWidth="8.77734375" defaultRowHeight="14.4" x14ac:dyDescent="0.3"/>
  <cols>
    <col min="1" max="1" width="1.33203125" customWidth="1"/>
    <col min="2" max="2" width="8.77734375" bestFit="1" customWidth="1"/>
    <col min="3" max="3" width="45.109375" customWidth="1"/>
    <col min="4" max="4" width="12.44140625" bestFit="1" customWidth="1"/>
    <col min="5" max="5" width="13.77734375" bestFit="1" customWidth="1"/>
    <col min="6" max="6" width="9.77734375" customWidth="1"/>
    <col min="7" max="7" width="12.33203125" customWidth="1"/>
    <col min="8" max="8" width="9.44140625" customWidth="1"/>
    <col min="9" max="9" width="13.44140625" bestFit="1" customWidth="1"/>
    <col min="10" max="10" width="11.109375" bestFit="1" customWidth="1"/>
    <col min="11" max="11" width="17.109375" bestFit="1" customWidth="1"/>
    <col min="12" max="12" width="21.77734375" customWidth="1"/>
  </cols>
  <sheetData>
    <row r="1" spans="2:12" ht="34.200000000000003" customHeight="1" x14ac:dyDescent="0.3">
      <c r="B1" s="48" t="s">
        <v>15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2:12" ht="19.95" customHeight="1" x14ac:dyDescent="0.3">
      <c r="B2" s="4"/>
      <c r="C2" s="6" t="s">
        <v>0</v>
      </c>
      <c r="D2" s="50" t="s">
        <v>64</v>
      </c>
      <c r="E2" s="51"/>
      <c r="F2" s="11"/>
      <c r="G2" s="11"/>
      <c r="H2" s="11"/>
      <c r="I2" s="24" t="s">
        <v>13</v>
      </c>
      <c r="J2" s="38">
        <f>SUM(L5:L13)</f>
        <v>611</v>
      </c>
      <c r="K2" s="11"/>
      <c r="L2" s="5"/>
    </row>
    <row r="3" spans="2:12" ht="9" customHeight="1" thickBot="1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8"/>
    </row>
    <row r="4" spans="2:12" ht="31.2" x14ac:dyDescent="0.3">
      <c r="B4" s="26" t="s">
        <v>3</v>
      </c>
      <c r="C4" s="27" t="s">
        <v>4</v>
      </c>
      <c r="D4" s="3" t="s">
        <v>5</v>
      </c>
      <c r="E4" s="3" t="s">
        <v>6</v>
      </c>
      <c r="F4" s="10" t="s">
        <v>7</v>
      </c>
      <c r="G4" s="3" t="s">
        <v>8</v>
      </c>
      <c r="H4" s="2" t="s">
        <v>9</v>
      </c>
      <c r="I4" s="2" t="s">
        <v>11</v>
      </c>
      <c r="J4" s="2" t="s">
        <v>10</v>
      </c>
      <c r="K4" s="2" t="s">
        <v>12</v>
      </c>
      <c r="L4" s="25" t="s">
        <v>14</v>
      </c>
    </row>
    <row r="5" spans="2:12" x14ac:dyDescent="0.3">
      <c r="B5" s="12">
        <v>1</v>
      </c>
      <c r="C5" s="45" t="s">
        <v>28</v>
      </c>
      <c r="D5" s="13">
        <v>10</v>
      </c>
      <c r="E5" s="16">
        <v>5</v>
      </c>
      <c r="F5" s="13">
        <v>10</v>
      </c>
      <c r="G5" s="16">
        <v>40</v>
      </c>
      <c r="H5" s="13">
        <v>10</v>
      </c>
      <c r="I5" s="13">
        <v>5</v>
      </c>
      <c r="J5" s="13">
        <v>0</v>
      </c>
      <c r="K5" s="13">
        <v>0</v>
      </c>
      <c r="L5" s="35">
        <f t="shared" ref="L5:L14" si="0">SUM(D5:K5)</f>
        <v>80</v>
      </c>
    </row>
    <row r="6" spans="2:12" ht="19.95" customHeight="1" x14ac:dyDescent="0.3">
      <c r="B6" s="22">
        <v>2</v>
      </c>
      <c r="C6" s="45" t="s">
        <v>29</v>
      </c>
      <c r="D6" s="14">
        <v>8</v>
      </c>
      <c r="E6" s="17">
        <v>5</v>
      </c>
      <c r="F6" s="14">
        <v>8</v>
      </c>
      <c r="G6" s="17">
        <v>45</v>
      </c>
      <c r="H6" s="14">
        <v>10</v>
      </c>
      <c r="I6" s="14">
        <v>6</v>
      </c>
      <c r="J6" s="13">
        <v>0</v>
      </c>
      <c r="K6" s="13">
        <v>0</v>
      </c>
      <c r="L6" s="36">
        <f t="shared" si="0"/>
        <v>82</v>
      </c>
    </row>
    <row r="7" spans="2:12" ht="19.95" customHeight="1" x14ac:dyDescent="0.3">
      <c r="B7" s="22">
        <v>3</v>
      </c>
      <c r="C7" s="45" t="s">
        <v>30</v>
      </c>
      <c r="D7" s="14">
        <v>10</v>
      </c>
      <c r="E7" s="17">
        <v>5</v>
      </c>
      <c r="F7" s="14">
        <v>6</v>
      </c>
      <c r="G7" s="17">
        <v>50</v>
      </c>
      <c r="H7" s="14">
        <v>10</v>
      </c>
      <c r="I7" s="14">
        <v>7</v>
      </c>
      <c r="J7" s="13">
        <v>0</v>
      </c>
      <c r="K7" s="13">
        <v>0</v>
      </c>
      <c r="L7" s="36">
        <f t="shared" si="0"/>
        <v>88</v>
      </c>
    </row>
    <row r="8" spans="2:12" ht="19.95" customHeight="1" x14ac:dyDescent="0.3">
      <c r="B8" s="22">
        <v>4</v>
      </c>
      <c r="C8" s="45" t="s">
        <v>31</v>
      </c>
      <c r="D8" s="14">
        <v>8</v>
      </c>
      <c r="E8" s="17">
        <v>4</v>
      </c>
      <c r="F8" s="14">
        <v>6</v>
      </c>
      <c r="G8" s="17">
        <v>40</v>
      </c>
      <c r="H8" s="14">
        <v>10</v>
      </c>
      <c r="I8" s="14">
        <v>5</v>
      </c>
      <c r="J8" s="13">
        <v>0</v>
      </c>
      <c r="K8" s="13">
        <v>0</v>
      </c>
      <c r="L8" s="36">
        <f t="shared" si="0"/>
        <v>73</v>
      </c>
    </row>
    <row r="9" spans="2:12" ht="19.95" customHeight="1" x14ac:dyDescent="0.3">
      <c r="B9" s="22">
        <v>5</v>
      </c>
      <c r="C9" s="45" t="s">
        <v>32</v>
      </c>
      <c r="D9" s="14">
        <v>6</v>
      </c>
      <c r="E9" s="17">
        <v>3</v>
      </c>
      <c r="F9" s="14">
        <v>8</v>
      </c>
      <c r="G9" s="17">
        <v>30</v>
      </c>
      <c r="H9" s="14">
        <v>10</v>
      </c>
      <c r="I9" s="14">
        <v>5</v>
      </c>
      <c r="J9" s="13">
        <v>0</v>
      </c>
      <c r="K9" s="13">
        <v>0</v>
      </c>
      <c r="L9" s="36">
        <f t="shared" si="0"/>
        <v>62</v>
      </c>
    </row>
    <row r="10" spans="2:12" ht="19.95" customHeight="1" x14ac:dyDescent="0.3">
      <c r="B10" s="22">
        <v>6</v>
      </c>
      <c r="C10" s="45" t="s">
        <v>33</v>
      </c>
      <c r="D10" s="14">
        <v>6</v>
      </c>
      <c r="E10" s="17">
        <v>4</v>
      </c>
      <c r="F10" s="14">
        <v>5</v>
      </c>
      <c r="G10" s="17">
        <v>35</v>
      </c>
      <c r="H10" s="14">
        <v>10</v>
      </c>
      <c r="I10" s="14">
        <v>8</v>
      </c>
      <c r="J10" s="13">
        <v>0</v>
      </c>
      <c r="K10" s="13">
        <v>0</v>
      </c>
      <c r="L10" s="36">
        <f t="shared" si="0"/>
        <v>68</v>
      </c>
    </row>
    <row r="11" spans="2:12" ht="19.95" customHeight="1" x14ac:dyDescent="0.3">
      <c r="B11" s="22">
        <v>7</v>
      </c>
      <c r="C11" s="45" t="s">
        <v>34</v>
      </c>
      <c r="D11" s="14">
        <v>6</v>
      </c>
      <c r="E11" s="17">
        <v>3</v>
      </c>
      <c r="F11" s="14">
        <v>6</v>
      </c>
      <c r="G11" s="17">
        <v>30</v>
      </c>
      <c r="H11" s="14">
        <v>8</v>
      </c>
      <c r="I11" s="14">
        <v>5</v>
      </c>
      <c r="J11" s="13">
        <v>0</v>
      </c>
      <c r="K11" s="13">
        <v>0</v>
      </c>
      <c r="L11" s="36">
        <f t="shared" si="0"/>
        <v>58</v>
      </c>
    </row>
    <row r="12" spans="2:12" ht="19.95" customHeight="1" x14ac:dyDescent="0.3">
      <c r="B12" s="22">
        <v>8</v>
      </c>
      <c r="C12" s="46" t="s">
        <v>35</v>
      </c>
      <c r="D12" s="14">
        <v>8</v>
      </c>
      <c r="E12" s="17">
        <v>5</v>
      </c>
      <c r="F12" s="14">
        <v>5</v>
      </c>
      <c r="G12" s="17">
        <v>35</v>
      </c>
      <c r="H12" s="14">
        <v>10</v>
      </c>
      <c r="I12" s="14">
        <v>7</v>
      </c>
      <c r="J12" s="13">
        <v>0</v>
      </c>
      <c r="K12" s="13">
        <v>0</v>
      </c>
      <c r="L12" s="36">
        <f t="shared" si="0"/>
        <v>70</v>
      </c>
    </row>
    <row r="13" spans="2:12" ht="19.95" customHeight="1" x14ac:dyDescent="0.3">
      <c r="B13" s="22">
        <v>9</v>
      </c>
      <c r="C13" s="45" t="s">
        <v>36</v>
      </c>
      <c r="D13" s="14">
        <v>15</v>
      </c>
      <c r="E13" s="17">
        <v>15</v>
      </c>
      <c r="F13" s="14">
        <v>0</v>
      </c>
      <c r="G13" s="17">
        <v>0</v>
      </c>
      <c r="H13" s="14">
        <v>0</v>
      </c>
      <c r="I13" s="14">
        <v>0</v>
      </c>
      <c r="J13" s="13">
        <v>0</v>
      </c>
      <c r="K13" s="13">
        <v>0</v>
      </c>
      <c r="L13" s="36">
        <f t="shared" si="0"/>
        <v>30</v>
      </c>
    </row>
    <row r="14" spans="2:12" ht="19.95" customHeight="1" x14ac:dyDescent="0.3">
      <c r="B14" s="22"/>
      <c r="C14" t="s">
        <v>37</v>
      </c>
      <c r="D14" s="14">
        <v>77</v>
      </c>
      <c r="E14" s="17">
        <v>49</v>
      </c>
      <c r="F14" s="14">
        <v>54</v>
      </c>
      <c r="G14" s="17">
        <v>305</v>
      </c>
      <c r="H14" s="14">
        <v>78</v>
      </c>
      <c r="I14" s="14">
        <v>48</v>
      </c>
      <c r="J14" s="13">
        <v>0</v>
      </c>
      <c r="K14" s="13">
        <v>0</v>
      </c>
      <c r="L14" s="36">
        <f t="shared" si="0"/>
        <v>611</v>
      </c>
    </row>
    <row r="15" spans="2:12" ht="19.95" customHeight="1" x14ac:dyDescent="0.3">
      <c r="B15" s="22"/>
      <c r="C15" s="20"/>
      <c r="D15" s="14"/>
      <c r="E15" s="17"/>
      <c r="F15" s="14"/>
      <c r="G15" s="17"/>
      <c r="H15" s="14"/>
      <c r="I15" s="14"/>
      <c r="J15" s="14"/>
      <c r="K15" s="14"/>
      <c r="L15" s="36" t="s">
        <v>38</v>
      </c>
    </row>
    <row r="16" spans="2:12" ht="19.95" customHeight="1" x14ac:dyDescent="0.3">
      <c r="B16" s="22"/>
      <c r="C16" s="20"/>
      <c r="D16" s="14"/>
      <c r="E16" s="17"/>
      <c r="F16" s="14"/>
      <c r="G16" s="17"/>
      <c r="H16" s="14"/>
      <c r="I16" s="14"/>
      <c r="J16" s="14"/>
      <c r="K16" s="14"/>
      <c r="L16" s="36"/>
    </row>
    <row r="17" spans="2:12" ht="19.95" customHeight="1" thickBot="1" x14ac:dyDescent="0.35">
      <c r="B17" s="23"/>
      <c r="C17" s="21"/>
      <c r="D17" s="15"/>
      <c r="E17" s="18"/>
      <c r="F17" s="15"/>
      <c r="G17" s="18"/>
      <c r="H17" s="15"/>
      <c r="I17" s="15"/>
      <c r="J17" s="15"/>
      <c r="K17" s="15"/>
      <c r="L17" s="37"/>
    </row>
  </sheetData>
  <mergeCells count="2">
    <mergeCell ref="B1:L1"/>
    <mergeCell ref="D2:E2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7F89-E588-437E-8096-5F462FA72A6C}">
  <dimension ref="A1:E10"/>
  <sheetViews>
    <sheetView zoomScale="73" workbookViewId="0">
      <selection activeCell="E10" sqref="E10"/>
    </sheetView>
  </sheetViews>
  <sheetFormatPr defaultColWidth="8.77734375" defaultRowHeight="14.4" x14ac:dyDescent="0.3"/>
  <cols>
    <col min="1" max="1" width="32.109375" customWidth="1"/>
    <col min="2" max="2" width="9.77734375" customWidth="1"/>
    <col min="3" max="3" width="11" customWidth="1"/>
    <col min="4" max="4" width="15.77734375" customWidth="1"/>
    <col min="5" max="5" width="20.109375" customWidth="1"/>
  </cols>
  <sheetData>
    <row r="1" spans="1:5" x14ac:dyDescent="0.3">
      <c r="A1" s="43" t="s">
        <v>41</v>
      </c>
      <c r="B1" s="43" t="s">
        <v>39</v>
      </c>
      <c r="C1" s="43" t="s">
        <v>42</v>
      </c>
      <c r="D1" s="43" t="s">
        <v>43</v>
      </c>
      <c r="E1" s="43" t="s">
        <v>44</v>
      </c>
    </row>
    <row r="2" spans="1:5" ht="28.8" x14ac:dyDescent="0.3">
      <c r="A2" s="44" t="s">
        <v>5</v>
      </c>
      <c r="B2" s="44">
        <v>77</v>
      </c>
      <c r="C2" s="44">
        <v>80</v>
      </c>
      <c r="D2" s="44" t="s">
        <v>45</v>
      </c>
      <c r="E2" s="44" t="s">
        <v>46</v>
      </c>
    </row>
    <row r="3" spans="1:5" ht="28.8" x14ac:dyDescent="0.3">
      <c r="A3" s="44" t="s">
        <v>6</v>
      </c>
      <c r="B3" s="44">
        <v>49</v>
      </c>
      <c r="C3" s="44">
        <v>70</v>
      </c>
      <c r="D3" s="44" t="s">
        <v>47</v>
      </c>
      <c r="E3" s="44" t="s">
        <v>48</v>
      </c>
    </row>
    <row r="4" spans="1:5" ht="28.8" x14ac:dyDescent="0.3">
      <c r="A4" s="44" t="s">
        <v>7</v>
      </c>
      <c r="B4" s="44">
        <v>54</v>
      </c>
      <c r="C4" s="44">
        <v>65</v>
      </c>
      <c r="D4" s="44" t="s">
        <v>49</v>
      </c>
      <c r="E4" s="44" t="s">
        <v>50</v>
      </c>
    </row>
    <row r="5" spans="1:5" ht="28.8" x14ac:dyDescent="0.3">
      <c r="A5" s="44" t="s">
        <v>8</v>
      </c>
      <c r="B5" s="44">
        <v>305</v>
      </c>
      <c r="C5" s="44">
        <v>75</v>
      </c>
      <c r="D5" s="44" t="s">
        <v>51</v>
      </c>
      <c r="E5" s="44" t="s">
        <v>52</v>
      </c>
    </row>
    <row r="6" spans="1:5" ht="28.8" x14ac:dyDescent="0.3">
      <c r="A6" s="44" t="s">
        <v>9</v>
      </c>
      <c r="B6" s="44">
        <v>78</v>
      </c>
      <c r="C6" s="44">
        <v>60</v>
      </c>
      <c r="D6" s="44" t="s">
        <v>53</v>
      </c>
      <c r="E6" s="44" t="s">
        <v>54</v>
      </c>
    </row>
    <row r="7" spans="1:5" x14ac:dyDescent="0.3">
      <c r="A7" s="44" t="s">
        <v>11</v>
      </c>
      <c r="B7" s="44">
        <v>48</v>
      </c>
      <c r="C7" s="44">
        <v>85</v>
      </c>
      <c r="D7" s="44" t="s">
        <v>55</v>
      </c>
      <c r="E7" s="44" t="s">
        <v>56</v>
      </c>
    </row>
    <row r="8" spans="1:5" x14ac:dyDescent="0.3">
      <c r="A8" s="44" t="s">
        <v>10</v>
      </c>
      <c r="B8" s="44">
        <v>0</v>
      </c>
      <c r="C8" s="44">
        <v>70</v>
      </c>
      <c r="D8" s="44">
        <v>0</v>
      </c>
      <c r="E8" s="44" t="s">
        <v>57</v>
      </c>
    </row>
    <row r="9" spans="1:5" ht="28.8" x14ac:dyDescent="0.3">
      <c r="A9" s="44" t="s">
        <v>12</v>
      </c>
      <c r="B9" s="44">
        <v>0</v>
      </c>
      <c r="C9" s="44">
        <v>50</v>
      </c>
      <c r="D9" s="44">
        <v>0</v>
      </c>
      <c r="E9" s="44" t="s">
        <v>58</v>
      </c>
    </row>
    <row r="10" spans="1:5" ht="28.8" x14ac:dyDescent="0.3">
      <c r="A10" s="47" t="s">
        <v>59</v>
      </c>
      <c r="B10" s="47" t="s">
        <v>60</v>
      </c>
      <c r="C10" s="44" t="s">
        <v>61</v>
      </c>
      <c r="D10" s="47" t="s">
        <v>62</v>
      </c>
      <c r="E10" s="4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5"/>
  <sheetViews>
    <sheetView showGridLines="0" zoomScale="92" zoomScaleNormal="248" workbookViewId="0">
      <selection activeCell="J14" sqref="J14"/>
    </sheetView>
  </sheetViews>
  <sheetFormatPr defaultColWidth="8.77734375" defaultRowHeight="14.4" x14ac:dyDescent="0.3"/>
  <cols>
    <col min="1" max="1" width="1.33203125" customWidth="1"/>
    <col min="2" max="2" width="10" customWidth="1"/>
    <col min="3" max="3" width="40.44140625" bestFit="1" customWidth="1"/>
    <col min="4" max="4" width="17.77734375" customWidth="1"/>
    <col min="5" max="5" width="19.77734375" bestFit="1" customWidth="1"/>
    <col min="6" max="6" width="13" customWidth="1"/>
  </cols>
  <sheetData>
    <row r="1" spans="2:10" ht="34.200000000000003" customHeight="1" x14ac:dyDescent="0.3">
      <c r="B1" s="48" t="s">
        <v>1</v>
      </c>
      <c r="C1" s="49"/>
      <c r="D1" s="49"/>
      <c r="E1" s="49"/>
      <c r="F1" s="52"/>
    </row>
    <row r="2" spans="2:10" ht="25.5" customHeight="1" x14ac:dyDescent="0.3">
      <c r="B2" s="34" t="s">
        <v>27</v>
      </c>
      <c r="C2" t="s">
        <v>64</v>
      </c>
      <c r="D2" s="11"/>
      <c r="E2" s="24" t="s">
        <v>2</v>
      </c>
      <c r="F2" s="39">
        <v>39600</v>
      </c>
    </row>
    <row r="3" spans="2:10" ht="9" customHeight="1" thickBot="1" x14ac:dyDescent="0.35">
      <c r="B3" s="7"/>
      <c r="C3" s="8"/>
      <c r="D3" s="8"/>
      <c r="E3" s="8"/>
      <c r="F3" s="9"/>
    </row>
    <row r="4" spans="2:10" ht="15.6" x14ac:dyDescent="0.3">
      <c r="B4" s="1" t="s">
        <v>3</v>
      </c>
      <c r="C4" s="2" t="s">
        <v>16</v>
      </c>
      <c r="D4" s="3" t="s">
        <v>17</v>
      </c>
      <c r="E4" s="3" t="s">
        <v>18</v>
      </c>
      <c r="F4" s="33" t="s">
        <v>19</v>
      </c>
    </row>
    <row r="5" spans="2:10" ht="26.55" customHeight="1" x14ac:dyDescent="0.3">
      <c r="B5" s="12"/>
      <c r="C5" s="19" t="s">
        <v>20</v>
      </c>
      <c r="D5" s="30">
        <v>700</v>
      </c>
      <c r="E5" s="28">
        <v>50</v>
      </c>
      <c r="F5" s="40">
        <f>D5*E5</f>
        <v>35000</v>
      </c>
    </row>
    <row r="6" spans="2:10" ht="26.55" customHeight="1" x14ac:dyDescent="0.3">
      <c r="B6" s="22"/>
      <c r="C6" s="20" t="s">
        <v>21</v>
      </c>
      <c r="D6" s="14">
        <v>1</v>
      </c>
      <c r="E6" s="29">
        <v>2000</v>
      </c>
      <c r="F6" s="41">
        <f t="shared" ref="F6:F7" si="0">D6*E6</f>
        <v>2000</v>
      </c>
    </row>
    <row r="7" spans="2:10" ht="26.55" customHeight="1" x14ac:dyDescent="0.3">
      <c r="B7" s="22"/>
      <c r="C7" s="20" t="s">
        <v>23</v>
      </c>
      <c r="D7" s="14">
        <v>1</v>
      </c>
      <c r="E7" s="29">
        <v>500</v>
      </c>
      <c r="F7" s="41">
        <f t="shared" si="0"/>
        <v>500</v>
      </c>
    </row>
    <row r="8" spans="2:10" ht="26.55" customHeight="1" x14ac:dyDescent="0.3">
      <c r="B8" s="22"/>
      <c r="C8" s="20" t="s">
        <v>22</v>
      </c>
      <c r="D8" s="14">
        <v>1</v>
      </c>
      <c r="E8" s="29">
        <v>500</v>
      </c>
      <c r="F8" s="41">
        <f>D8*E8</f>
        <v>500</v>
      </c>
    </row>
    <row r="9" spans="2:10" ht="26.55" customHeight="1" x14ac:dyDescent="0.3">
      <c r="B9" s="22"/>
      <c r="C9" s="20" t="s">
        <v>24</v>
      </c>
      <c r="D9" s="14">
        <v>1</v>
      </c>
      <c r="E9" s="32">
        <v>0.1</v>
      </c>
      <c r="F9" s="41">
        <v>500</v>
      </c>
    </row>
    <row r="10" spans="2:10" ht="26.55" customHeight="1" x14ac:dyDescent="0.3">
      <c r="B10" s="22"/>
      <c r="C10" s="20" t="s">
        <v>25</v>
      </c>
      <c r="D10" s="31">
        <v>0</v>
      </c>
      <c r="E10" s="32">
        <v>0.1</v>
      </c>
      <c r="F10" s="41">
        <v>1000</v>
      </c>
    </row>
    <row r="11" spans="2:10" ht="26.55" customHeight="1" x14ac:dyDescent="0.3">
      <c r="B11" s="22"/>
      <c r="C11" s="20" t="s">
        <v>26</v>
      </c>
      <c r="D11" s="31">
        <v>0</v>
      </c>
      <c r="E11" s="32">
        <v>0.05</v>
      </c>
      <c r="F11" s="41">
        <v>300</v>
      </c>
    </row>
    <row r="12" spans="2:10" ht="26.55" customHeight="1" x14ac:dyDescent="0.3">
      <c r="B12" s="22"/>
      <c r="C12" s="20" t="s">
        <v>63</v>
      </c>
      <c r="D12" s="14">
        <v>1</v>
      </c>
      <c r="E12" s="17">
        <v>300</v>
      </c>
      <c r="F12" s="41">
        <v>300</v>
      </c>
    </row>
    <row r="13" spans="2:10" ht="26.55" customHeight="1" x14ac:dyDescent="0.3">
      <c r="B13" s="22"/>
      <c r="C13" s="20" t="s">
        <v>40</v>
      </c>
      <c r="D13" s="14"/>
      <c r="E13" s="17"/>
      <c r="F13" s="41">
        <v>39600</v>
      </c>
    </row>
    <row r="14" spans="2:10" ht="26.55" customHeight="1" x14ac:dyDescent="0.3">
      <c r="B14" s="22"/>
      <c r="C14" s="20"/>
      <c r="D14" s="14"/>
      <c r="E14" s="17"/>
      <c r="F14" s="41"/>
      <c r="J14" t="s">
        <v>65</v>
      </c>
    </row>
    <row r="15" spans="2:10" ht="26.25" customHeight="1" thickBot="1" x14ac:dyDescent="0.35">
      <c r="B15" s="23"/>
      <c r="C15" s="21"/>
      <c r="D15" s="15"/>
      <c r="E15" s="18"/>
      <c r="F15" s="42"/>
    </row>
  </sheetData>
  <mergeCells count="1">
    <mergeCell ref="B1:F1"/>
  </mergeCells>
  <pageMargins left="0.7" right="0.7" top="0.75" bottom="0.75" header="0.3" footer="0.3"/>
  <pageSetup paperSize="9" orientation="portrait" horizontalDpi="4294967293" r:id="rId1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Labor Estimate</vt:lpstr>
      <vt:lpstr>Labor Cost Calculation</vt:lpstr>
      <vt:lpstr>Budgetary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Krisha Lakhani</cp:lastModifiedBy>
  <dcterms:created xsi:type="dcterms:W3CDTF">2021-05-01T03:24:34Z</dcterms:created>
  <dcterms:modified xsi:type="dcterms:W3CDTF">2025-11-28T22:54:48Z</dcterms:modified>
</cp:coreProperties>
</file>