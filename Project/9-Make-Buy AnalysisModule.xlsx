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255f8ba975c51b3/Documents/Fall2025 Semester/PlanningManaging IS/Project/"/>
    </mc:Choice>
  </mc:AlternateContent>
  <xr:revisionPtr revIDLastSave="1" documentId="13_ncr:1_{85E13EC7-94C8-4351-A55B-431E1E075265}" xr6:coauthVersionLast="47" xr6:coauthVersionMax="47" xr10:uidLastSave="{A7194B23-B869-45A4-9A34-E601CC2DABCF}"/>
  <bookViews>
    <workbookView xWindow="-108" yWindow="-108" windowWidth="23256" windowHeight="12456" xr2:uid="{00000000-000D-0000-FFFF-FFFF00000000}"/>
  </bookViews>
  <sheets>
    <sheet name="Make or Buy Analysi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4" l="1"/>
  <c r="C13" i="4" s="1"/>
  <c r="I11" i="4"/>
  <c r="I10" i="4"/>
  <c r="I9" i="4"/>
  <c r="I8" i="4"/>
  <c r="I7" i="4"/>
  <c r="I6" i="4"/>
  <c r="F12" i="4"/>
  <c r="C21" i="4"/>
  <c r="D21" i="4"/>
  <c r="E21" i="4"/>
  <c r="F21" i="4"/>
  <c r="G21" i="4"/>
  <c r="H21" i="4"/>
  <c r="I15" i="4"/>
  <c r="I16" i="4"/>
  <c r="I17" i="4"/>
  <c r="I18" i="4"/>
  <c r="I19" i="4"/>
  <c r="I20" i="4"/>
  <c r="D12" i="4"/>
  <c r="E12" i="4"/>
  <c r="G12" i="4"/>
  <c r="H12" i="4"/>
  <c r="E22" i="4" l="1"/>
  <c r="F22" i="4"/>
  <c r="I21" i="4"/>
  <c r="E13" i="4"/>
  <c r="G13" i="4"/>
  <c r="C22" i="4"/>
  <c r="H22" i="4"/>
  <c r="D13" i="4"/>
  <c r="D22" i="4"/>
  <c r="G22" i="4"/>
  <c r="H13" i="4"/>
  <c r="I12" i="4"/>
  <c r="F13" i="4"/>
</calcChain>
</file>

<file path=xl/sharedStrings.xml><?xml version="1.0" encoding="utf-8"?>
<sst xmlns="http://schemas.openxmlformats.org/spreadsheetml/2006/main" count="39" uniqueCount="30">
  <si>
    <t>TOTAL</t>
  </si>
  <si>
    <t>Make or Buy Analysis</t>
  </si>
  <si>
    <t>Initial Costs</t>
  </si>
  <si>
    <t>Ongoing Costs</t>
  </si>
  <si>
    <t xml:space="preserve">The Most Cost-Effective Option is: </t>
  </si>
  <si>
    <t>Cost to Make</t>
  </si>
  <si>
    <t>Cost to Buy</t>
  </si>
  <si>
    <t>Cumulative Chart</t>
  </si>
  <si>
    <t>Initial</t>
  </si>
  <si>
    <t>Year 1</t>
  </si>
  <si>
    <t>Year 2</t>
  </si>
  <si>
    <t>Year 3</t>
  </si>
  <si>
    <t>Year 4</t>
  </si>
  <si>
    <t>Year 5</t>
  </si>
  <si>
    <r>
      <rPr>
        <sz val="11"/>
        <color theme="1"/>
        <rFont val="Segoe UI Symbol"/>
        <family val="2"/>
      </rPr>
      <t>◀</t>
    </r>
    <r>
      <rPr>
        <i/>
        <sz val="10"/>
        <color theme="1"/>
        <rFont val="Calibri"/>
        <family val="2"/>
      </rPr>
      <t xml:space="preserve"> Insert more columns to add more years (or weeks or months). Copy over an existing column to ensure the formulas carry over.</t>
    </r>
  </si>
  <si>
    <r>
      <rPr>
        <sz val="11"/>
        <color theme="1"/>
        <rFont val="Segoe UI Symbol"/>
        <family val="2"/>
      </rPr>
      <t>◀</t>
    </r>
    <r>
      <rPr>
        <i/>
        <sz val="10"/>
        <color theme="1"/>
        <rFont val="Calibri"/>
        <family val="2"/>
      </rPr>
      <t xml:space="preserve"> Insert more rows to add more costs</t>
    </r>
    <r>
      <rPr>
        <i/>
        <sz val="11"/>
        <color theme="1"/>
        <rFont val="Calibri"/>
        <family val="2"/>
      </rPr>
      <t>. Copy the formulas and formatting from an existing row from above.</t>
    </r>
  </si>
  <si>
    <t>Project costs (Backend + Security + Telecom SME)</t>
  </si>
  <si>
    <t>System Costs (Server hosting, ML pipeline)</t>
  </si>
  <si>
    <t>Developer labor for build (2 weeks)</t>
  </si>
  <si>
    <t>Data labeling + model tuning</t>
  </si>
  <si>
    <t>Maintenance + bug fixes</t>
  </si>
  <si>
    <t>Security updates + compliance</t>
  </si>
  <si>
    <t>Initial contract + onboarding</t>
  </si>
  <si>
    <t>API subscription + system access</t>
  </si>
  <si>
    <t>Integration development</t>
  </si>
  <si>
    <t>Ongoing API usage fees</t>
  </si>
  <si>
    <t>Maintenance (Minor fixes)</t>
  </si>
  <si>
    <t>Security + regulatory compliance</t>
  </si>
  <si>
    <t>Buy (Twilio Lookup API)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</si>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</sst>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2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20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9"/>
      <color theme="1"/>
      <name val="Calibri"/>
      <family val="2"/>
    </font>
    <font>
      <b/>
      <sz val="13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3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1"/>
      <color theme="1"/>
      <name val="Segoe UI Symbol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DDBB1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1" tint="0.34998626667073579"/>
      </bottom>
      <diagonal/>
    </border>
    <border>
      <left/>
      <right style="medium">
        <color indexed="64"/>
      </right>
      <top style="medium">
        <color indexed="64"/>
      </top>
      <bottom style="dotted">
        <color theme="1" tint="0.34998626667073579"/>
      </bottom>
      <diagonal/>
    </border>
    <border>
      <left/>
      <right style="medium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/>
      <right style="thin">
        <color indexed="64"/>
      </right>
      <top style="medium">
        <color indexed="64"/>
      </top>
      <bottom style="dotted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/>
      <right style="thin">
        <color indexed="64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dotted">
        <color theme="1" tint="0.34998626667073579"/>
      </top>
      <bottom style="medium">
        <color indexed="64"/>
      </bottom>
      <diagonal/>
    </border>
    <border>
      <left/>
      <right style="thin">
        <color indexed="64"/>
      </right>
      <top style="dotted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dotted">
        <color theme="1" tint="0.34998626667073579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16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4" fillId="2" borderId="0" xfId="0" applyFont="1" applyFill="1"/>
    <xf numFmtId="0" fontId="4" fillId="2" borderId="6" xfId="0" applyFont="1" applyFill="1" applyBorder="1"/>
    <xf numFmtId="0" fontId="10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8" xfId="0" applyFont="1" applyFill="1" applyBorder="1"/>
    <xf numFmtId="164" fontId="9" fillId="4" borderId="8" xfId="0" applyNumberFormat="1" applyFont="1" applyFill="1" applyBorder="1" applyAlignment="1">
      <alignment vertical="center"/>
    </xf>
    <xf numFmtId="0" fontId="13" fillId="0" borderId="0" xfId="0" applyFont="1" applyAlignment="1">
      <alignment horizontal="left" vertical="center" indent="1"/>
    </xf>
    <xf numFmtId="164" fontId="10" fillId="4" borderId="11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right" vertical="center" indent="1"/>
    </xf>
    <xf numFmtId="164" fontId="10" fillId="4" borderId="9" xfId="0" applyNumberFormat="1" applyFont="1" applyFill="1" applyBorder="1" applyAlignment="1">
      <alignment vertical="center"/>
    </xf>
    <xf numFmtId="164" fontId="10" fillId="4" borderId="7" xfId="0" applyNumberFormat="1" applyFont="1" applyFill="1" applyBorder="1" applyAlignment="1">
      <alignment vertical="center"/>
    </xf>
    <xf numFmtId="0" fontId="14" fillId="4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right" vertical="center" wrapText="1" indent="1"/>
    </xf>
    <xf numFmtId="164" fontId="11" fillId="0" borderId="16" xfId="0" applyNumberFormat="1" applyFont="1" applyBorder="1" applyAlignment="1">
      <alignment vertical="center"/>
    </xf>
    <xf numFmtId="0" fontId="11" fillId="0" borderId="17" xfId="0" applyFont="1" applyBorder="1" applyAlignment="1">
      <alignment horizontal="right" vertical="center" wrapText="1" indent="1"/>
    </xf>
    <xf numFmtId="164" fontId="11" fillId="0" borderId="18" xfId="0" applyNumberFormat="1" applyFont="1" applyBorder="1" applyAlignment="1">
      <alignment vertical="center"/>
    </xf>
    <xf numFmtId="164" fontId="11" fillId="0" borderId="18" xfId="1" applyFont="1" applyBorder="1" applyAlignment="1">
      <alignment vertical="center"/>
    </xf>
    <xf numFmtId="0" fontId="8" fillId="3" borderId="19" xfId="0" applyFont="1" applyFill="1" applyBorder="1" applyAlignment="1">
      <alignment horizontal="right" vertical="center" indent="1"/>
    </xf>
    <xf numFmtId="164" fontId="12" fillId="3" borderId="20" xfId="0" applyNumberFormat="1" applyFont="1" applyFill="1" applyBorder="1" applyAlignment="1">
      <alignment vertical="center"/>
    </xf>
    <xf numFmtId="164" fontId="12" fillId="3" borderId="21" xfId="0" applyNumberFormat="1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/>
    </xf>
    <xf numFmtId="164" fontId="19" fillId="5" borderId="0" xfId="0" applyNumberFormat="1" applyFont="1" applyFill="1" applyAlignment="1">
      <alignment vertical="center"/>
    </xf>
    <xf numFmtId="164" fontId="19" fillId="5" borderId="12" xfId="0" applyNumberFormat="1" applyFont="1" applyFill="1" applyBorder="1" applyAlignment="1">
      <alignment vertical="center"/>
    </xf>
    <xf numFmtId="164" fontId="11" fillId="3" borderId="14" xfId="0" applyNumberFormat="1" applyFont="1" applyFill="1" applyBorder="1" applyAlignment="1">
      <alignment vertical="center"/>
    </xf>
    <xf numFmtId="164" fontId="11" fillId="3" borderId="15" xfId="0" applyNumberFormat="1" applyFont="1" applyFill="1" applyBorder="1" applyAlignment="1">
      <alignment vertical="center"/>
    </xf>
    <xf numFmtId="164" fontId="17" fillId="4" borderId="14" xfId="0" applyNumberFormat="1" applyFont="1" applyFill="1" applyBorder="1" applyAlignment="1">
      <alignment vertical="center"/>
    </xf>
    <xf numFmtId="164" fontId="17" fillId="4" borderId="15" xfId="0" applyNumberFormat="1" applyFont="1" applyFill="1" applyBorder="1" applyAlignment="1">
      <alignment vertical="center"/>
    </xf>
    <xf numFmtId="0" fontId="19" fillId="5" borderId="22" xfId="0" applyFont="1" applyFill="1" applyBorder="1" applyAlignment="1">
      <alignment horizontal="right" vertical="center" indent="1"/>
    </xf>
    <xf numFmtId="0" fontId="19" fillId="5" borderId="23" xfId="0" applyFont="1" applyFill="1" applyBorder="1" applyAlignment="1">
      <alignment horizontal="right" vertical="center" indent="1"/>
    </xf>
    <xf numFmtId="0" fontId="21" fillId="0" borderId="0" xfId="0" applyFont="1" applyAlignment="1">
      <alignment vertical="center"/>
    </xf>
    <xf numFmtId="164" fontId="19" fillId="5" borderId="7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18" fillId="2" borderId="1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FDDBB1"/>
      <color rgb="FF8FB9AB"/>
      <color rgb="FFFCC98C"/>
      <color rgb="FFFFCC00"/>
      <color rgb="FF334D63"/>
      <color rgb="FFD5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600" b="1" i="1"/>
              <a:t>Make or Buy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'Make or Buy Analysis'!$B$5</c:f>
              <c:strCache>
                <c:ptCount val="1"/>
                <c:pt idx="0">
                  <c:v>Cost to Make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'Make or Buy Analysis'!$C$5:$H$5</c:f>
              <c:strCache>
                <c:ptCount val="6"/>
                <c:pt idx="0">
                  <c:v>Initial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'Make or Buy Analysis'!$C$13:$H$13</c:f>
              <c:numCache>
                <c:formatCode>_-"$"* #,##0.00_-;\-"$"* #,##0.00_-;_-"$"* "-"??_-;_-@_-</c:formatCode>
                <c:ptCount val="6"/>
                <c:pt idx="0">
                  <c:v>4900</c:v>
                </c:pt>
                <c:pt idx="1">
                  <c:v>5600</c:v>
                </c:pt>
                <c:pt idx="2">
                  <c:v>6300</c:v>
                </c:pt>
                <c:pt idx="3">
                  <c:v>7000</c:v>
                </c:pt>
                <c:pt idx="4">
                  <c:v>7700</c:v>
                </c:pt>
                <c:pt idx="5">
                  <c:v>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0-406D-A216-A4198693B51C}"/>
            </c:ext>
          </c:extLst>
        </c:ser>
        <c:ser>
          <c:idx val="1"/>
          <c:order val="1"/>
          <c:tx>
            <c:strRef>
              <c:f>'Make or Buy Analysis'!$B$14</c:f>
              <c:strCache>
                <c:ptCount val="1"/>
                <c:pt idx="0">
                  <c:v>Cost to Buy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strRef>
              <c:f>'Make or Buy Analysis'!$C$5:$H$5</c:f>
              <c:strCache>
                <c:ptCount val="6"/>
                <c:pt idx="0">
                  <c:v>Initial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'Make or Buy Analysis'!$C$22:$H$22</c:f>
              <c:numCache>
                <c:formatCode>_-"$"* #,##0.00_-;\-"$"* #,##0.00_-;_-"$"* "-"??_-;_-@_-</c:formatCode>
                <c:ptCount val="6"/>
                <c:pt idx="0">
                  <c:v>1450</c:v>
                </c:pt>
                <c:pt idx="1">
                  <c:v>2150</c:v>
                </c:pt>
                <c:pt idx="2">
                  <c:v>2950</c:v>
                </c:pt>
                <c:pt idx="3">
                  <c:v>3800</c:v>
                </c:pt>
                <c:pt idx="4">
                  <c:v>4700</c:v>
                </c:pt>
                <c:pt idx="5">
                  <c:v>5650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E0-406D-A216-A4198693B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574088"/>
        <c:axId val="628574480"/>
      </c:lineChart>
      <c:catAx>
        <c:axId val="62857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74480"/>
        <c:crosses val="autoZero"/>
        <c:auto val="1"/>
        <c:lblAlgn val="ctr"/>
        <c:lblOffset val="100"/>
        <c:noMultiLvlLbl val="0"/>
      </c:catAx>
      <c:valAx>
        <c:axId val="6285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7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142091</xdr:colOff>
      <xdr:row>1</xdr:row>
      <xdr:rowOff>2465</xdr:rowOff>
    </xdr:from>
    <xdr:to>
      <xdr:col>16</xdr:col>
      <xdr:colOff>484094</xdr:colOff>
      <xdr:row>11</xdr:row>
      <xdr:rowOff>281940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3C0D0-A693-426D-9695-CF823CB92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2721-C234-4E26-B31E-730164FD822F}">
  <dimension ref="B1:K28"/>
  <sheetViews>
    <sheetView showGridLines="0" tabSelected="1" topLeftCell="A2" zoomScale="61" zoomScaleNormal="67" workbookViewId="0">
      <selection activeCell="G28" sqref="G28"/>
    </sheetView>
  </sheetViews>
  <sheetFormatPr defaultRowHeight="14.4" x14ac:dyDescent="0.3"/>
  <cols>
    <col min="1" max="1" width="1.5546875" customWidth="1"/>
    <col min="2" max="2" width="57.21875" customWidth="1"/>
    <col min="3" max="5" width="12.77734375" customWidth="1"/>
    <col min="6" max="6" width="18.77734375" customWidth="1"/>
    <col min="7" max="8" width="12.77734375" customWidth="1"/>
    <col min="9" max="9" width="12" bestFit="1" customWidth="1"/>
    <col min="11" max="11" width="11.33203125" bestFit="1" customWidth="1"/>
  </cols>
  <sheetData>
    <row r="1" spans="2:11" ht="8.5500000000000007" customHeight="1" thickBot="1" x14ac:dyDescent="0.35"/>
    <row r="2" spans="2:11" ht="33.75" customHeight="1" x14ac:dyDescent="0.3">
      <c r="B2" s="41" t="s">
        <v>1</v>
      </c>
      <c r="C2" s="42"/>
      <c r="D2" s="42"/>
      <c r="E2" s="42"/>
      <c r="F2" s="42"/>
      <c r="G2" s="42"/>
      <c r="H2" s="42"/>
      <c r="I2" s="43"/>
      <c r="K2" s="1"/>
    </row>
    <row r="3" spans="2:11" ht="38.549999999999997" customHeight="1" thickBot="1" x14ac:dyDescent="0.6">
      <c r="B3" s="3"/>
      <c r="C3" s="4"/>
      <c r="D3" s="5" t="s">
        <v>4</v>
      </c>
      <c r="E3" s="44" t="s">
        <v>28</v>
      </c>
      <c r="F3" s="45"/>
      <c r="G3" s="9"/>
      <c r="H3" s="6"/>
      <c r="I3" s="7"/>
      <c r="K3" s="1"/>
    </row>
    <row r="4" spans="2:11" ht="25.05" customHeight="1" thickBot="1" x14ac:dyDescent="0.35">
      <c r="B4" s="2"/>
      <c r="C4" s="30" t="s">
        <v>2</v>
      </c>
      <c r="D4" s="46" t="s">
        <v>3</v>
      </c>
      <c r="E4" s="46"/>
      <c r="F4" s="46"/>
      <c r="G4" s="46"/>
      <c r="H4" s="46"/>
      <c r="I4" s="8" t="s">
        <v>0</v>
      </c>
    </row>
    <row r="5" spans="2:11" ht="25.05" customHeight="1" thickBot="1" x14ac:dyDescent="0.35">
      <c r="B5" s="20" t="s">
        <v>5</v>
      </c>
      <c r="C5" s="21" t="s">
        <v>8</v>
      </c>
      <c r="D5" s="21" t="s">
        <v>9</v>
      </c>
      <c r="E5" s="21" t="s">
        <v>10</v>
      </c>
      <c r="F5" s="21" t="s">
        <v>11</v>
      </c>
      <c r="G5" s="21" t="s">
        <v>12</v>
      </c>
      <c r="H5" s="21" t="s">
        <v>13</v>
      </c>
      <c r="I5" s="10"/>
    </row>
    <row r="6" spans="2:11" ht="25.05" customHeight="1" x14ac:dyDescent="0.3">
      <c r="B6" s="22" t="s">
        <v>16</v>
      </c>
      <c r="C6" s="23">
        <v>3000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33">
        <f t="shared" ref="I6:I12" si="0">SUM(C6:H6)</f>
        <v>3000</v>
      </c>
      <c r="K6" s="12"/>
    </row>
    <row r="7" spans="2:11" ht="25.05" customHeight="1" x14ac:dyDescent="0.3">
      <c r="B7" s="24" t="s">
        <v>18</v>
      </c>
      <c r="C7" s="25">
        <v>1200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34">
        <f t="shared" si="0"/>
        <v>1200</v>
      </c>
    </row>
    <row r="8" spans="2:11" ht="25.05" customHeight="1" x14ac:dyDescent="0.3">
      <c r="B8" s="24" t="s">
        <v>17</v>
      </c>
      <c r="C8" s="25">
        <v>400</v>
      </c>
      <c r="D8" s="25">
        <v>150</v>
      </c>
      <c r="E8" s="25">
        <v>150</v>
      </c>
      <c r="F8" s="25">
        <v>150</v>
      </c>
      <c r="G8" s="25">
        <v>150</v>
      </c>
      <c r="H8" s="25">
        <v>150</v>
      </c>
      <c r="I8" s="34">
        <f t="shared" si="0"/>
        <v>1150</v>
      </c>
    </row>
    <row r="9" spans="2:11" ht="25.05" customHeight="1" x14ac:dyDescent="0.3">
      <c r="B9" s="24" t="s">
        <v>19</v>
      </c>
      <c r="C9" s="25">
        <v>300</v>
      </c>
      <c r="D9" s="25">
        <v>100</v>
      </c>
      <c r="E9" s="25">
        <v>100</v>
      </c>
      <c r="F9" s="25">
        <v>100</v>
      </c>
      <c r="G9" s="25">
        <v>100</v>
      </c>
      <c r="H9" s="25">
        <v>100</v>
      </c>
      <c r="I9" s="34">
        <f t="shared" si="0"/>
        <v>800</v>
      </c>
    </row>
    <row r="10" spans="2:11" ht="25.05" customHeight="1" x14ac:dyDescent="0.3">
      <c r="B10" s="24" t="s">
        <v>20</v>
      </c>
      <c r="C10" s="25">
        <v>0</v>
      </c>
      <c r="D10" s="25">
        <v>300</v>
      </c>
      <c r="E10" s="25">
        <v>300</v>
      </c>
      <c r="F10" s="25">
        <v>300</v>
      </c>
      <c r="G10" s="25">
        <v>300</v>
      </c>
      <c r="H10" s="25">
        <v>300</v>
      </c>
      <c r="I10" s="34">
        <f t="shared" si="0"/>
        <v>1500</v>
      </c>
    </row>
    <row r="11" spans="2:11" ht="25.05" customHeight="1" x14ac:dyDescent="0.3">
      <c r="B11" s="24" t="s">
        <v>21</v>
      </c>
      <c r="C11" s="26">
        <v>0</v>
      </c>
      <c r="D11" s="25">
        <v>150</v>
      </c>
      <c r="E11" s="25">
        <v>150</v>
      </c>
      <c r="F11" s="25">
        <v>150</v>
      </c>
      <c r="G11" s="25">
        <v>150</v>
      </c>
      <c r="H11" s="25">
        <v>150</v>
      </c>
      <c r="I11" s="34">
        <f t="shared" si="0"/>
        <v>750</v>
      </c>
    </row>
    <row r="12" spans="2:11" ht="25.05" customHeight="1" thickBot="1" x14ac:dyDescent="0.35">
      <c r="B12" s="27" t="s">
        <v>0</v>
      </c>
      <c r="C12" s="28">
        <f t="shared" ref="C12:H12" si="1">SUM(C6:C11)</f>
        <v>4900</v>
      </c>
      <c r="D12" s="28">
        <f t="shared" si="1"/>
        <v>700</v>
      </c>
      <c r="E12" s="28">
        <f t="shared" si="1"/>
        <v>700</v>
      </c>
      <c r="F12" s="28">
        <f t="shared" si="1"/>
        <v>700</v>
      </c>
      <c r="G12" s="28">
        <f t="shared" si="1"/>
        <v>700</v>
      </c>
      <c r="H12" s="28">
        <f t="shared" si="1"/>
        <v>700</v>
      </c>
      <c r="I12" s="29">
        <f t="shared" si="0"/>
        <v>8400</v>
      </c>
    </row>
    <row r="13" spans="2:11" ht="25.05" customHeight="1" thickBot="1" x14ac:dyDescent="0.35">
      <c r="B13" s="37" t="s">
        <v>7</v>
      </c>
      <c r="C13" s="32">
        <f>C12</f>
        <v>4900</v>
      </c>
      <c r="D13" s="32">
        <f>SUM($C12:D12)</f>
        <v>5600</v>
      </c>
      <c r="E13" s="32">
        <f>SUM($C12:E12)</f>
        <v>6300</v>
      </c>
      <c r="F13" s="32">
        <f>SUM($C12:F12)</f>
        <v>7000</v>
      </c>
      <c r="G13" s="32">
        <f>SUM($C12:G12)</f>
        <v>7700</v>
      </c>
      <c r="H13" s="32">
        <f>SUM($C12:H12)</f>
        <v>8400</v>
      </c>
      <c r="I13" s="31"/>
    </row>
    <row r="14" spans="2:11" ht="25.05" customHeight="1" thickBot="1" x14ac:dyDescent="0.35">
      <c r="B14" s="18" t="s">
        <v>6</v>
      </c>
      <c r="C14" s="13" t="s">
        <v>8</v>
      </c>
      <c r="D14" s="14" t="s">
        <v>9</v>
      </c>
      <c r="E14" s="14" t="s">
        <v>10</v>
      </c>
      <c r="F14" s="14" t="s">
        <v>11</v>
      </c>
      <c r="G14" s="14" t="s">
        <v>12</v>
      </c>
      <c r="H14" s="14" t="s">
        <v>13</v>
      </c>
      <c r="I14" s="11"/>
    </row>
    <row r="15" spans="2:11" ht="25.05" customHeight="1" x14ac:dyDescent="0.3">
      <c r="B15" s="22" t="s">
        <v>22</v>
      </c>
      <c r="C15" s="23">
        <v>1000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35">
        <f t="shared" ref="I15:I20" si="2">SUM(C15:H15)</f>
        <v>1000</v>
      </c>
    </row>
    <row r="16" spans="2:11" ht="25.05" customHeight="1" x14ac:dyDescent="0.3">
      <c r="B16" s="24" t="s">
        <v>23</v>
      </c>
      <c r="C16" s="25">
        <v>200</v>
      </c>
      <c r="D16" s="25">
        <v>200</v>
      </c>
      <c r="E16" s="25">
        <v>200</v>
      </c>
      <c r="F16" s="25">
        <v>200</v>
      </c>
      <c r="G16" s="25">
        <v>200</v>
      </c>
      <c r="H16" s="25">
        <v>200</v>
      </c>
      <c r="I16" s="36">
        <f t="shared" si="2"/>
        <v>1200</v>
      </c>
    </row>
    <row r="17" spans="2:11" ht="25.05" customHeight="1" x14ac:dyDescent="0.3">
      <c r="B17" s="24" t="s">
        <v>24</v>
      </c>
      <c r="C17" s="25">
        <v>250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36">
        <f t="shared" si="2"/>
        <v>250</v>
      </c>
      <c r="J17" s="19"/>
      <c r="K17" s="12"/>
    </row>
    <row r="18" spans="2:11" ht="25.05" customHeight="1" x14ac:dyDescent="0.3">
      <c r="B18" s="24" t="s">
        <v>25</v>
      </c>
      <c r="C18" s="25">
        <v>0</v>
      </c>
      <c r="D18" s="25">
        <v>350</v>
      </c>
      <c r="E18" s="25">
        <v>450</v>
      </c>
      <c r="F18" s="25">
        <v>500</v>
      </c>
      <c r="G18" s="25">
        <v>550</v>
      </c>
      <c r="H18" s="25">
        <v>600</v>
      </c>
      <c r="I18" s="36">
        <f t="shared" si="2"/>
        <v>2450</v>
      </c>
      <c r="K18" s="39" t="s">
        <v>15</v>
      </c>
    </row>
    <row r="19" spans="2:11" ht="25.05" customHeight="1" x14ac:dyDescent="0.3">
      <c r="B19" s="24" t="s">
        <v>26</v>
      </c>
      <c r="C19" s="25">
        <v>0</v>
      </c>
      <c r="D19" s="25">
        <v>100</v>
      </c>
      <c r="E19" s="25">
        <v>100</v>
      </c>
      <c r="F19" s="25">
        <v>100</v>
      </c>
      <c r="G19" s="25">
        <v>100</v>
      </c>
      <c r="H19" s="25">
        <v>100</v>
      </c>
      <c r="I19" s="36">
        <f t="shared" si="2"/>
        <v>500</v>
      </c>
      <c r="K19" s="39" t="s">
        <v>14</v>
      </c>
    </row>
    <row r="20" spans="2:11" ht="25.05" customHeight="1" x14ac:dyDescent="0.3">
      <c r="B20" s="24" t="s">
        <v>27</v>
      </c>
      <c r="C20" s="25">
        <v>0</v>
      </c>
      <c r="D20" s="25">
        <v>50</v>
      </c>
      <c r="E20" s="25">
        <v>50</v>
      </c>
      <c r="F20" s="25">
        <v>50</v>
      </c>
      <c r="G20" s="25">
        <v>50</v>
      </c>
      <c r="H20" s="25">
        <v>50</v>
      </c>
      <c r="I20" s="36">
        <f t="shared" si="2"/>
        <v>250</v>
      </c>
    </row>
    <row r="21" spans="2:11" ht="25.05" customHeight="1" thickBot="1" x14ac:dyDescent="0.35">
      <c r="B21" s="15" t="s">
        <v>0</v>
      </c>
      <c r="C21" s="16">
        <f t="shared" ref="C21:I21" si="3">SUM(C15:C20)</f>
        <v>1450</v>
      </c>
      <c r="D21" s="16">
        <f t="shared" si="3"/>
        <v>700</v>
      </c>
      <c r="E21" s="16">
        <f t="shared" si="3"/>
        <v>800</v>
      </c>
      <c r="F21" s="16">
        <f t="shared" si="3"/>
        <v>850</v>
      </c>
      <c r="G21" s="16">
        <f t="shared" si="3"/>
        <v>900</v>
      </c>
      <c r="H21" s="16">
        <f t="shared" si="3"/>
        <v>950</v>
      </c>
      <c r="I21" s="17">
        <f t="shared" si="3"/>
        <v>5650</v>
      </c>
    </row>
    <row r="22" spans="2:11" ht="25.05" customHeight="1" thickBot="1" x14ac:dyDescent="0.35">
      <c r="B22" s="38" t="s">
        <v>7</v>
      </c>
      <c r="C22" s="32">
        <f>C21</f>
        <v>1450</v>
      </c>
      <c r="D22" s="32">
        <f>SUM($C21:D21)</f>
        <v>2150</v>
      </c>
      <c r="E22" s="32">
        <f>SUM($C21:E21)</f>
        <v>2950</v>
      </c>
      <c r="F22" s="32">
        <f>SUM($C21:F21)</f>
        <v>3800</v>
      </c>
      <c r="G22" s="32">
        <f>SUM($C21:G21)</f>
        <v>4700</v>
      </c>
      <c r="H22" s="32">
        <f>SUM($C21:H21)</f>
        <v>5650</v>
      </c>
      <c r="I22" s="40"/>
    </row>
    <row r="28" spans="2:11" x14ac:dyDescent="0.3">
      <c r="G28" t="s">
        <v>29</v>
      </c>
    </row>
  </sheetData>
  <mergeCells count="3">
    <mergeCell ref="B2:I2"/>
    <mergeCell ref="E3:F3"/>
    <mergeCell ref="D4:H4"/>
  </mergeCells>
  <phoneticPr fontId="2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 or Buy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PCUser</dc:creator>
  <cp:lastModifiedBy>Krisha Lakhani</cp:lastModifiedBy>
  <dcterms:created xsi:type="dcterms:W3CDTF">2021-04-12T04:25:27Z</dcterms:created>
  <dcterms:modified xsi:type="dcterms:W3CDTF">2025-11-29T18:12:53Z</dcterms:modified>
</cp:coreProperties>
</file>